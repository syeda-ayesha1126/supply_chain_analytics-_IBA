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eda\Documents\Ayesha Undergrad\7th semester\Supply Chain Analytics\Assignment 2\"/>
    </mc:Choice>
  </mc:AlternateContent>
  <xr:revisionPtr revIDLastSave="0" documentId="8_{7B7463FA-94D6-4B33-B0F0-3DE3F5371D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nancial Data" sheetId="1" r:id="rId1"/>
    <sheet name="Ratio Calculations" sheetId="2" r:id="rId2"/>
    <sheet name="Ratio Summar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17" i="2" s="1"/>
  <c r="D5" i="2"/>
  <c r="D16" i="2" s="1"/>
  <c r="D4" i="2"/>
  <c r="D15" i="2" s="1"/>
  <c r="D18" i="2" l="1"/>
  <c r="C3" i="3"/>
  <c r="H16" i="2"/>
  <c r="C4" i="3"/>
  <c r="D14" i="2"/>
  <c r="C2" i="3" s="1"/>
  <c r="H17" i="2"/>
  <c r="C5" i="3"/>
  <c r="H18" i="2"/>
  <c r="C6" i="3"/>
  <c r="H14" i="2"/>
  <c r="H15" i="2"/>
</calcChain>
</file>

<file path=xl/sharedStrings.xml><?xml version="1.0" encoding="utf-8"?>
<sst xmlns="http://schemas.openxmlformats.org/spreadsheetml/2006/main" count="132" uniqueCount="89">
  <si>
    <t>Year</t>
  </si>
  <si>
    <t>Statement</t>
  </si>
  <si>
    <t>Line Item</t>
  </si>
  <si>
    <t>Value (PKR)</t>
  </si>
  <si>
    <t>Notes</t>
  </si>
  <si>
    <t>Income Statement</t>
  </si>
  <si>
    <t>Revenue</t>
  </si>
  <si>
    <t>Reported as Sales - net</t>
  </si>
  <si>
    <t>Cost of Goods Sold</t>
  </si>
  <si>
    <t>Reported as Cost of sales</t>
  </si>
  <si>
    <t>Gross Profit</t>
  </si>
  <si>
    <t>Reported directly as Gross profit</t>
  </si>
  <si>
    <t>Balance Sheet</t>
  </si>
  <si>
    <t>Inventory</t>
  </si>
  <si>
    <t>Reported as Stock-in-trade</t>
  </si>
  <si>
    <t>Trade Receivables</t>
  </si>
  <si>
    <t>Reported as Trade debts</t>
  </si>
  <si>
    <t>Trade Payables</t>
  </si>
  <si>
    <t>Reported as Trade and other payables; no separate trade-payables figure provided</t>
  </si>
  <si>
    <t>Cash Flow Statement</t>
  </si>
  <si>
    <t>Capital Expenditure</t>
  </si>
  <si>
    <t>Reported as Capital expenditure (including CWIP)</t>
  </si>
  <si>
    <t>Income Statement / Notes</t>
  </si>
  <si>
    <t>Segment/Geographic Revenue Breakdown</t>
  </si>
  <si>
    <t>Not provided</t>
  </si>
  <si>
    <t>2025 Ratio Calculations Using Average Balances</t>
  </si>
  <si>
    <t>Input</t>
  </si>
  <si>
    <t>2024 Closing</t>
  </si>
  <si>
    <t>2025 Closing</t>
  </si>
  <si>
    <t>2025 Average Used</t>
  </si>
  <si>
    <t>Trade Payables*</t>
  </si>
  <si>
    <t>COGS / Revenue basis</t>
  </si>
  <si>
    <t>Flow Input</t>
  </si>
  <si>
    <t>2025 Value</t>
  </si>
  <si>
    <t>Use</t>
  </si>
  <si>
    <t>COGS</t>
  </si>
  <si>
    <t>Inventory Turnover, DIO, DPO</t>
  </si>
  <si>
    <t>DSO</t>
  </si>
  <si>
    <t>Metric</t>
  </si>
  <si>
    <t>Formula</t>
  </si>
  <si>
    <t>Exact Inputs Used</t>
  </si>
  <si>
    <t>AI Result</t>
  </si>
  <si>
    <t>Step 2 Match?</t>
  </si>
  <si>
    <t>Resolution / Note</t>
  </si>
  <si>
    <t>Step 2 Hand Calculation</t>
  </si>
  <si>
    <t>Variance (AI - Step 2)</t>
  </si>
  <si>
    <t>Inventory Turnover</t>
  </si>
  <si>
    <t>COGS ÷ Average Inventory</t>
  </si>
  <si>
    <t>99,428,054,774 ÷ 23,095,255,826</t>
  </si>
  <si>
    <t>Matched after correction</t>
  </si>
  <si>
    <t>Initial AI used closing inventory; corrected to average inventory (2024 + 2025) / 2.</t>
  </si>
  <si>
    <t>DIO</t>
  </si>
  <si>
    <t>Average Inventory ÷ COGS × 365</t>
  </si>
  <si>
    <t>23,095,255,826 ÷ 99,428,054,774 × 365</t>
  </si>
  <si>
    <t>Initial AI DIO used closing inventory; corrected using average inventory.</t>
  </si>
  <si>
    <t>Average Trade Receivables ÷ Revenue × 365</t>
  </si>
  <si>
    <t>15,294,329,914.50 ÷ 122,566,192,659 × 365</t>
  </si>
  <si>
    <t>Initial AI DSO used closing receivables; corrected using average trade receivables.</t>
  </si>
  <si>
    <t>DPO</t>
  </si>
  <si>
    <t>Average Trade Payables ÷ COGS × 365</t>
  </si>
  <si>
    <t>14,900,991,778.50 ÷ 99,428,054,774 × 365</t>
  </si>
  <si>
    <t>Initial AI DPO was 51.71 days because closing 2025 payables were used. Corrected DPO = 54.701 days using average 2024/2025 payables.</t>
  </si>
  <si>
    <t>Cash Conversion Cycle</t>
  </si>
  <si>
    <t>DIO + DSO − DPO</t>
  </si>
  <si>
    <t>84.7826 + 45.5462 − 54.7015</t>
  </si>
  <si>
    <t>Initial AI CCC was 79.54 days. Corrected CCC = 75.627 days after using average balances, matching Step 2.</t>
  </si>
  <si>
    <t>Reconciliation Note</t>
  </si>
  <si>
    <t>Initial AI method</t>
  </si>
  <si>
    <t>Used year-end closing balances for the first calculation. This produced DPO = 51.71 days and CCC = 79.54 days.</t>
  </si>
  <si>
    <t>Discrepancy</t>
  </si>
  <si>
    <t>Step 2 used average balances: (2024 closing + 2025 closing) / 2. Therefore the initial AI results did not match the hand calculations.</t>
  </si>
  <si>
    <t>Resolution</t>
  </si>
  <si>
    <t>Recalculated using average inventory, average trade receivables, and average trade payables. Corrected results match the Step 2 hand calculations subject to rounding: Inventory Turnover 4.3051x, DIO 84.782 days, DSO 45.546 days, DPO 54.701 days, CCC 75.627 days.</t>
  </si>
  <si>
    <t>Initial AI (Closing Balance)</t>
  </si>
  <si>
    <t>Corrected AI (Average Balance)</t>
  </si>
  <si>
    <t>Match?</t>
  </si>
  <si>
    <t>Explanation</t>
  </si>
  <si>
    <t>Yes — after correction</t>
  </si>
  <si>
    <t>Initial calculation used closing inventory; corrected to average inventory.</t>
  </si>
  <si>
    <t>DIO (days)</t>
  </si>
  <si>
    <t>Corrected using average inventory.</t>
  </si>
  <si>
    <t>DSO (days)</t>
  </si>
  <si>
    <t>Corrected using average trade receivables.</t>
  </si>
  <si>
    <t>DPO (days)</t>
  </si>
  <si>
    <t>51.71 was the initial AI error from using closing payables; 54.701 uses average payables.</t>
  </si>
  <si>
    <t>CCC (days)</t>
  </si>
  <si>
    <t>Initial CCC reflected closing balances; corrected CCC uses average-balance DIO, DSO and DPO.</t>
  </si>
  <si>
    <t>Confirmed Reconciliation</t>
  </si>
  <si>
    <t>The initial AI calculation did NOT match Step 2 because it used year-end closing balances. After changing to average 2024/2025 balances, the AI calculations match the handwritten Step 2 results subject to rounding. The most important correction is DPO: 51.71 days (initial error) → 54.701 days (correct).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</si>
</sst>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0.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4" fontId="0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DataTable" displayName="FinancialDataTable" ref="A1:E17" totalsRowShown="0">
  <tableColumns count="5">
    <tableColumn id="1" xr3:uid="{00000000-0010-0000-0000-000001000000}" name="Year"/>
    <tableColumn id="2" xr3:uid="{00000000-0010-0000-0000-000002000000}" name="Statement"/>
    <tableColumn id="3" xr3:uid="{00000000-0010-0000-0000-000003000000}" name="Line Item"/>
    <tableColumn id="4" xr3:uid="{00000000-0010-0000-0000-000004000000}" name="Value (PKR)"/>
    <tableColumn id="5" xr3:uid="{00000000-0010-0000-0000-000005000000}" name="Not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E19" sqref="E19"/>
    </sheetView>
  </sheetViews>
  <sheetFormatPr defaultRowHeight="13.8"/>
  <cols>
    <col min="1" max="1" width="12" customWidth="1"/>
    <col min="2" max="2" width="24" customWidth="1"/>
    <col min="3" max="3" width="38" customWidth="1"/>
    <col min="4" max="4" width="20" customWidth="1"/>
    <col min="5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2025</v>
      </c>
      <c r="B2" s="2" t="s">
        <v>5</v>
      </c>
      <c r="C2" s="2" t="s">
        <v>6</v>
      </c>
      <c r="D2" s="4">
        <v>122566192659</v>
      </c>
      <c r="E2" s="2" t="s">
        <v>7</v>
      </c>
    </row>
    <row r="3" spans="1:5">
      <c r="A3" s="2">
        <v>2024</v>
      </c>
      <c r="B3" s="2" t="s">
        <v>5</v>
      </c>
      <c r="C3" s="2" t="s">
        <v>6</v>
      </c>
      <c r="D3" s="4">
        <v>116967540849</v>
      </c>
      <c r="E3" s="2" t="s">
        <v>7</v>
      </c>
    </row>
    <row r="4" spans="1:5">
      <c r="A4" s="2">
        <v>2025</v>
      </c>
      <c r="B4" s="2" t="s">
        <v>5</v>
      </c>
      <c r="C4" s="2" t="s">
        <v>8</v>
      </c>
      <c r="D4" s="4">
        <v>-99428054774</v>
      </c>
      <c r="E4" s="2" t="s">
        <v>9</v>
      </c>
    </row>
    <row r="5" spans="1:5">
      <c r="A5" s="2">
        <v>2024</v>
      </c>
      <c r="B5" s="2" t="s">
        <v>5</v>
      </c>
      <c r="C5" s="2" t="s">
        <v>8</v>
      </c>
      <c r="D5" s="4">
        <v>-92647488472</v>
      </c>
      <c r="E5" s="2" t="s">
        <v>9</v>
      </c>
    </row>
    <row r="6" spans="1:5">
      <c r="A6" s="2">
        <v>2025</v>
      </c>
      <c r="B6" s="2" t="s">
        <v>5</v>
      </c>
      <c r="C6" s="2" t="s">
        <v>10</v>
      </c>
      <c r="D6" s="4">
        <v>23138137885</v>
      </c>
      <c r="E6" s="2" t="s">
        <v>11</v>
      </c>
    </row>
    <row r="7" spans="1:5">
      <c r="A7" s="2">
        <v>2024</v>
      </c>
      <c r="B7" s="2" t="s">
        <v>5</v>
      </c>
      <c r="C7" s="2" t="s">
        <v>10</v>
      </c>
      <c r="D7" s="4">
        <v>24320052377</v>
      </c>
      <c r="E7" s="2" t="s">
        <v>11</v>
      </c>
    </row>
    <row r="8" spans="1:5">
      <c r="A8" s="2">
        <v>2025</v>
      </c>
      <c r="B8" s="2" t="s">
        <v>12</v>
      </c>
      <c r="C8" s="2" t="s">
        <v>13</v>
      </c>
      <c r="D8" s="4">
        <v>22969311101</v>
      </c>
      <c r="E8" s="2" t="s">
        <v>14</v>
      </c>
    </row>
    <row r="9" spans="1:5">
      <c r="A9" s="2">
        <v>2024</v>
      </c>
      <c r="B9" s="2" t="s">
        <v>12</v>
      </c>
      <c r="C9" s="2" t="s">
        <v>13</v>
      </c>
      <c r="D9" s="4">
        <v>23221200551</v>
      </c>
      <c r="E9" s="2" t="s">
        <v>14</v>
      </c>
    </row>
    <row r="10" spans="1:5">
      <c r="A10" s="2">
        <v>2025</v>
      </c>
      <c r="B10" s="2" t="s">
        <v>12</v>
      </c>
      <c r="C10" s="2" t="s">
        <v>15</v>
      </c>
      <c r="D10" s="4">
        <v>15758507990</v>
      </c>
      <c r="E10" s="2" t="s">
        <v>16</v>
      </c>
    </row>
    <row r="11" spans="1:5">
      <c r="A11" s="2">
        <v>2024</v>
      </c>
      <c r="B11" s="2" t="s">
        <v>12</v>
      </c>
      <c r="C11" s="2" t="s">
        <v>15</v>
      </c>
      <c r="D11" s="4">
        <v>14830151839</v>
      </c>
      <c r="E11" s="2" t="s">
        <v>16</v>
      </c>
    </row>
    <row r="12" spans="1:5" ht="27.6">
      <c r="A12" s="2">
        <v>2025</v>
      </c>
      <c r="B12" s="2" t="s">
        <v>12</v>
      </c>
      <c r="C12" s="2" t="s">
        <v>17</v>
      </c>
      <c r="D12" s="4">
        <v>14085361914</v>
      </c>
      <c r="E12" s="2" t="s">
        <v>18</v>
      </c>
    </row>
    <row r="13" spans="1:5" ht="27.6">
      <c r="A13" s="2">
        <v>2024</v>
      </c>
      <c r="B13" s="2" t="s">
        <v>12</v>
      </c>
      <c r="C13" s="2" t="s">
        <v>17</v>
      </c>
      <c r="D13" s="4">
        <v>15716621643</v>
      </c>
      <c r="E13" s="2" t="s">
        <v>18</v>
      </c>
    </row>
    <row r="14" spans="1:5">
      <c r="A14" s="2">
        <v>2025</v>
      </c>
      <c r="B14" s="2" t="s">
        <v>19</v>
      </c>
      <c r="C14" s="2" t="s">
        <v>20</v>
      </c>
      <c r="D14" s="4">
        <v>-5576537797</v>
      </c>
      <c r="E14" s="2" t="s">
        <v>21</v>
      </c>
    </row>
    <row r="15" spans="1:5">
      <c r="A15" s="2">
        <v>2024</v>
      </c>
      <c r="B15" s="2" t="s">
        <v>19</v>
      </c>
      <c r="C15" s="2" t="s">
        <v>20</v>
      </c>
      <c r="D15" s="4">
        <v>-10567873249</v>
      </c>
      <c r="E15" s="2" t="s">
        <v>21</v>
      </c>
    </row>
    <row r="16" spans="1:5">
      <c r="A16" s="2">
        <v>2025</v>
      </c>
      <c r="B16" s="2" t="s">
        <v>22</v>
      </c>
      <c r="C16" s="2" t="s">
        <v>23</v>
      </c>
      <c r="D16" s="4"/>
      <c r="E16" s="2" t="s">
        <v>24</v>
      </c>
    </row>
    <row r="17" spans="1:5">
      <c r="A17" s="2">
        <v>2024</v>
      </c>
      <c r="B17" s="2" t="s">
        <v>22</v>
      </c>
      <c r="C17" s="2" t="s">
        <v>23</v>
      </c>
      <c r="D17" s="4"/>
      <c r="E17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opLeftCell="D1" workbookViewId="0">
      <selection activeCell="I1" sqref="I1"/>
    </sheetView>
  </sheetViews>
  <sheetFormatPr defaultRowHeight="13.8"/>
  <cols>
    <col min="1" max="1" width="24" customWidth="1"/>
    <col min="2" max="2" width="30" customWidth="1"/>
    <col min="3" max="3" width="48" customWidth="1"/>
    <col min="4" max="5" width="18" customWidth="1"/>
    <col min="6" max="6" width="55" customWidth="1"/>
    <col min="7" max="7" width="24" customWidth="1"/>
    <col min="8" max="8" width="22" customWidth="1"/>
  </cols>
  <sheetData>
    <row r="1" spans="1:8" ht="17.399999999999999">
      <c r="A1" s="11" t="s">
        <v>25</v>
      </c>
      <c r="B1" s="11"/>
      <c r="C1" s="11"/>
      <c r="D1" s="11"/>
      <c r="E1" s="11"/>
      <c r="F1" s="11"/>
      <c r="G1" s="11"/>
      <c r="H1" s="1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1" t="s">
        <v>26</v>
      </c>
      <c r="B3" s="1" t="s">
        <v>27</v>
      </c>
      <c r="C3" s="1" t="s">
        <v>28</v>
      </c>
      <c r="D3" s="1" t="s">
        <v>29</v>
      </c>
      <c r="E3" s="2"/>
      <c r="F3" s="2"/>
      <c r="G3" s="2"/>
      <c r="H3" s="2"/>
    </row>
    <row r="4" spans="1:8">
      <c r="A4" s="2" t="s">
        <v>13</v>
      </c>
      <c r="B4" s="5">
        <v>23221200551</v>
      </c>
      <c r="C4" s="5">
        <v>22969311101</v>
      </c>
      <c r="D4" s="5">
        <f>AVERAGE(B4:C4)</f>
        <v>23095255826</v>
      </c>
      <c r="E4" s="2"/>
      <c r="F4" s="2"/>
      <c r="G4" s="2"/>
      <c r="H4" s="2"/>
    </row>
    <row r="5" spans="1:8">
      <c r="A5" s="2" t="s">
        <v>15</v>
      </c>
      <c r="B5" s="5">
        <v>14830151839</v>
      </c>
      <c r="C5" s="5">
        <v>15758507990</v>
      </c>
      <c r="D5" s="5">
        <f>AVERAGE(B5:C5)</f>
        <v>15294329914.5</v>
      </c>
      <c r="E5" s="2"/>
      <c r="F5" s="2"/>
      <c r="G5" s="2"/>
      <c r="H5" s="2"/>
    </row>
    <row r="6" spans="1:8">
      <c r="A6" s="2" t="s">
        <v>30</v>
      </c>
      <c r="B6" s="5">
        <v>15716621643</v>
      </c>
      <c r="C6" s="5">
        <v>14085361914</v>
      </c>
      <c r="D6" s="5">
        <f>AVERAGE(B6:C6)</f>
        <v>14900991778.5</v>
      </c>
      <c r="E6" s="2"/>
      <c r="F6" s="2"/>
      <c r="G6" s="2"/>
      <c r="H6" s="2"/>
    </row>
    <row r="7" spans="1:8">
      <c r="A7" s="2" t="s">
        <v>31</v>
      </c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 t="s">
        <v>32</v>
      </c>
      <c r="B9" s="2" t="s">
        <v>33</v>
      </c>
      <c r="C9" s="2" t="s">
        <v>34</v>
      </c>
      <c r="D9" s="2"/>
      <c r="E9" s="2"/>
      <c r="F9" s="2"/>
      <c r="G9" s="2"/>
      <c r="H9" s="2"/>
    </row>
    <row r="10" spans="1:8">
      <c r="A10" s="2" t="s">
        <v>35</v>
      </c>
      <c r="B10" s="6">
        <v>99428054774</v>
      </c>
      <c r="C10" s="2" t="s">
        <v>36</v>
      </c>
      <c r="D10" s="2"/>
      <c r="E10" s="2"/>
      <c r="F10" s="2"/>
      <c r="G10" s="2"/>
      <c r="H10" s="2"/>
    </row>
    <row r="11" spans="1:8">
      <c r="A11" s="2" t="s">
        <v>6</v>
      </c>
      <c r="B11" s="6">
        <v>122566192659</v>
      </c>
      <c r="C11" s="2" t="s">
        <v>37</v>
      </c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43</v>
      </c>
      <c r="G13" s="8" t="s">
        <v>44</v>
      </c>
      <c r="H13" s="8" t="s">
        <v>45</v>
      </c>
    </row>
    <row r="14" spans="1:8" ht="27.6">
      <c r="A14" s="2" t="s">
        <v>46</v>
      </c>
      <c r="B14" s="2" t="s">
        <v>47</v>
      </c>
      <c r="C14" s="2" t="s">
        <v>48</v>
      </c>
      <c r="D14" s="7">
        <f>$B$10/$D$4</f>
        <v>4.3051289634153624</v>
      </c>
      <c r="E14" s="7" t="s">
        <v>49</v>
      </c>
      <c r="F14" s="7" t="s">
        <v>50</v>
      </c>
      <c r="G14" s="7">
        <v>4.3051289629999996</v>
      </c>
      <c r="H14" s="7">
        <f>D14-G14</f>
        <v>4.1536285522170147E-10</v>
      </c>
    </row>
    <row r="15" spans="1:8" ht="27.6">
      <c r="A15" s="2" t="s">
        <v>51</v>
      </c>
      <c r="B15" s="2" t="s">
        <v>52</v>
      </c>
      <c r="C15" s="2" t="s">
        <v>53</v>
      </c>
      <c r="D15" s="7">
        <f>$D$4/$B$10*365</f>
        <v>84.782593762403039</v>
      </c>
      <c r="E15" s="7" t="s">
        <v>49</v>
      </c>
      <c r="F15" s="7" t="s">
        <v>54</v>
      </c>
      <c r="G15" s="7">
        <v>84.781999999999996</v>
      </c>
      <c r="H15" s="7">
        <f>D15-G15</f>
        <v>5.9376240304231942E-4</v>
      </c>
    </row>
    <row r="16" spans="1:8" ht="27.6">
      <c r="A16" s="2" t="s">
        <v>37</v>
      </c>
      <c r="B16" s="2" t="s">
        <v>55</v>
      </c>
      <c r="C16" s="2" t="s">
        <v>56</v>
      </c>
      <c r="D16" s="7">
        <f>$D$5/$B$11*365</f>
        <v>45.546249725842188</v>
      </c>
      <c r="E16" s="7" t="s">
        <v>49</v>
      </c>
      <c r="F16" s="7" t="s">
        <v>57</v>
      </c>
      <c r="G16" s="7">
        <v>45.545999999999999</v>
      </c>
      <c r="H16" s="7">
        <f>D16-G16</f>
        <v>2.4972584218829752E-4</v>
      </c>
    </row>
    <row r="17" spans="1:8" ht="41.4">
      <c r="A17" s="2" t="s">
        <v>58</v>
      </c>
      <c r="B17" s="2" t="s">
        <v>59</v>
      </c>
      <c r="C17" s="2" t="s">
        <v>60</v>
      </c>
      <c r="D17" s="7">
        <f>$D$6/$B$10*365</f>
        <v>54.701482509288098</v>
      </c>
      <c r="E17" s="7" t="s">
        <v>49</v>
      </c>
      <c r="F17" s="7" t="s">
        <v>61</v>
      </c>
      <c r="G17" s="7">
        <v>54.701000000000001</v>
      </c>
      <c r="H17" s="7">
        <f>D17-G17</f>
        <v>4.825092880977877E-4</v>
      </c>
    </row>
    <row r="18" spans="1:8" ht="27.6">
      <c r="A18" s="2" t="s">
        <v>62</v>
      </c>
      <c r="B18" s="2" t="s">
        <v>63</v>
      </c>
      <c r="C18" s="2" t="s">
        <v>64</v>
      </c>
      <c r="D18" s="7">
        <f>D15+D16-D17</f>
        <v>75.627360978957142</v>
      </c>
      <c r="E18" s="7" t="s">
        <v>49</v>
      </c>
      <c r="F18" s="7" t="s">
        <v>65</v>
      </c>
      <c r="G18" s="7">
        <v>75.626999999999995</v>
      </c>
      <c r="H18" s="7">
        <f>D18-G18</f>
        <v>3.6097895714704009E-4</v>
      </c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12" t="s">
        <v>66</v>
      </c>
      <c r="B20" s="12"/>
      <c r="C20" s="12"/>
      <c r="D20" s="12"/>
      <c r="E20" s="12"/>
      <c r="F20" s="12"/>
      <c r="G20" s="2"/>
      <c r="H20" s="2"/>
    </row>
    <row r="21" spans="1:8">
      <c r="A21" s="13" t="s">
        <v>67</v>
      </c>
      <c r="B21" s="13" t="s">
        <v>68</v>
      </c>
      <c r="C21" s="13"/>
      <c r="D21" s="13"/>
      <c r="E21" s="13"/>
      <c r="F21" s="13"/>
      <c r="G21" s="2"/>
      <c r="H21" s="2"/>
    </row>
    <row r="22" spans="1:8">
      <c r="A22" s="13" t="s">
        <v>69</v>
      </c>
      <c r="B22" s="13" t="s">
        <v>70</v>
      </c>
      <c r="C22" s="13"/>
      <c r="D22" s="13"/>
      <c r="E22" s="13"/>
      <c r="F22" s="13"/>
      <c r="G22" s="2"/>
      <c r="H22" s="2"/>
    </row>
    <row r="23" spans="1:8">
      <c r="A23" s="13" t="s">
        <v>71</v>
      </c>
      <c r="B23" s="13" t="s">
        <v>72</v>
      </c>
      <c r="C23" s="13"/>
      <c r="D23" s="13"/>
      <c r="E23" s="13"/>
      <c r="F23" s="13"/>
      <c r="G23" s="2"/>
      <c r="H23" s="2"/>
    </row>
  </sheetData>
  <mergeCells count="5">
    <mergeCell ref="A1:H1"/>
    <mergeCell ref="A20:F20"/>
    <mergeCell ref="A21:F21"/>
    <mergeCell ref="A22:F22"/>
    <mergeCell ref="A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/>
  </sheetViews>
  <sheetFormatPr defaultRowHeight="13.8"/>
  <cols>
    <col min="1" max="2" width="24" customWidth="1"/>
    <col min="3" max="3" width="27" customWidth="1"/>
    <col min="4" max="4" width="24" customWidth="1"/>
    <col min="5" max="5" width="22" customWidth="1"/>
    <col min="6" max="6" width="52" customWidth="1"/>
  </cols>
  <sheetData>
    <row r="1" spans="1:6" ht="27.6">
      <c r="A1" s="9" t="s">
        <v>38</v>
      </c>
      <c r="B1" s="9" t="s">
        <v>73</v>
      </c>
      <c r="C1" s="9" t="s">
        <v>74</v>
      </c>
      <c r="D1" s="9" t="s">
        <v>44</v>
      </c>
      <c r="E1" s="9" t="s">
        <v>75</v>
      </c>
      <c r="F1" s="8" t="s">
        <v>76</v>
      </c>
    </row>
    <row r="2" spans="1:6" ht="27.6">
      <c r="A2" s="2" t="s">
        <v>46</v>
      </c>
      <c r="B2" s="7">
        <v>4.33</v>
      </c>
      <c r="C2" s="7">
        <f>'Ratio Calculations'!D14</f>
        <v>4.3051289634153624</v>
      </c>
      <c r="D2" s="7">
        <v>4.3051289629999996</v>
      </c>
      <c r="E2" s="2" t="s">
        <v>77</v>
      </c>
      <c r="F2" s="2" t="s">
        <v>78</v>
      </c>
    </row>
    <row r="3" spans="1:6">
      <c r="A3" s="2" t="s">
        <v>79</v>
      </c>
      <c r="B3" s="7">
        <v>84.32</v>
      </c>
      <c r="C3" s="7">
        <f>'Ratio Calculations'!D15</f>
        <v>84.782593762403039</v>
      </c>
      <c r="D3" s="7">
        <v>84.781999999999996</v>
      </c>
      <c r="E3" s="2" t="s">
        <v>77</v>
      </c>
      <c r="F3" s="2" t="s">
        <v>80</v>
      </c>
    </row>
    <row r="4" spans="1:6">
      <c r="A4" s="2" t="s">
        <v>81</v>
      </c>
      <c r="B4" s="7">
        <v>46.93</v>
      </c>
      <c r="C4" s="7">
        <f>'Ratio Calculations'!D16</f>
        <v>45.546249725842188</v>
      </c>
      <c r="D4" s="7">
        <v>45.545999999999999</v>
      </c>
      <c r="E4" s="2" t="s">
        <v>77</v>
      </c>
      <c r="F4" s="2" t="s">
        <v>82</v>
      </c>
    </row>
    <row r="5" spans="1:6" ht="27.6">
      <c r="A5" s="2" t="s">
        <v>83</v>
      </c>
      <c r="B5" s="7">
        <v>51.71</v>
      </c>
      <c r="C5" s="7">
        <f>'Ratio Calculations'!D17</f>
        <v>54.701482509288098</v>
      </c>
      <c r="D5" s="7">
        <v>54.701000000000001</v>
      </c>
      <c r="E5" s="2" t="s">
        <v>77</v>
      </c>
      <c r="F5" s="2" t="s">
        <v>84</v>
      </c>
    </row>
    <row r="6" spans="1:6" ht="27.6">
      <c r="A6" s="2" t="s">
        <v>85</v>
      </c>
      <c r="B6" s="7">
        <v>79.540000000000006</v>
      </c>
      <c r="C6" s="7">
        <f>'Ratio Calculations'!D18</f>
        <v>75.627360978957142</v>
      </c>
      <c r="D6" s="7">
        <v>75.626999999999995</v>
      </c>
      <c r="E6" s="2" t="s">
        <v>77</v>
      </c>
      <c r="F6" s="2" t="s">
        <v>86</v>
      </c>
    </row>
    <row r="7" spans="1:6">
      <c r="A7" s="2"/>
      <c r="B7" s="2"/>
      <c r="C7" s="2"/>
      <c r="D7" s="2"/>
      <c r="E7" s="2"/>
      <c r="F7" s="2"/>
    </row>
    <row r="8" spans="1:6">
      <c r="A8" s="14" t="s">
        <v>87</v>
      </c>
      <c r="B8" s="14"/>
      <c r="C8" s="14"/>
      <c r="D8" s="14"/>
      <c r="E8" s="14"/>
      <c r="F8" s="10"/>
    </row>
    <row r="9" spans="1:6" ht="165.6">
      <c r="A9" s="2" t="s">
        <v>88</v>
      </c>
      <c r="B9" s="13"/>
      <c r="C9" s="13"/>
      <c r="D9" s="13"/>
      <c r="E9" s="13"/>
      <c r="F9" s="2"/>
    </row>
  </sheetData>
  <mergeCells count="2">
    <mergeCell ref="A8:E8"/>
    <mergeCell ref="B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Ratio Calculations</vt:lpstr>
      <vt:lpstr>Ratio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Nabi</dc:creator>
  <cp:lastModifiedBy>SYEDA AYESHA IRFAN NABI - 29373</cp:lastModifiedBy>
  <dcterms:created xsi:type="dcterms:W3CDTF">2026-09-14T19:36:44Z</dcterms:created>
  <dcterms:modified xsi:type="dcterms:W3CDTF">2026-09-14T19:36:44Z</dcterms:modified>
</cp:coreProperties>
</file>